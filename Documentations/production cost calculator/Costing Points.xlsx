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2\Downloads\"/>
    </mc:Choice>
  </mc:AlternateContent>
  <xr:revisionPtr revIDLastSave="0" documentId="13_ncr:1_{B9B006AB-AE1C-4E18-80C4-0E9E42CAFBDA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Vinay" sheetId="1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6" i="16" l="1"/>
  <c r="G85" i="16"/>
  <c r="G84" i="16"/>
  <c r="F82" i="16"/>
  <c r="E82" i="16"/>
  <c r="D81" i="16"/>
  <c r="G74" i="16"/>
  <c r="G70" i="16"/>
  <c r="G69" i="16"/>
  <c r="G71" i="16"/>
</calcChain>
</file>

<file path=xl/sharedStrings.xml><?xml version="1.0" encoding="utf-8"?>
<sst xmlns="http://schemas.openxmlformats.org/spreadsheetml/2006/main" count="82" uniqueCount="77">
  <si>
    <t>Sr No.</t>
  </si>
  <si>
    <t xml:space="preserve">Material </t>
  </si>
  <si>
    <t>GST is directly added to cost.</t>
  </si>
  <si>
    <t>But it is depending whether GST input is avaialbe or not</t>
  </si>
  <si>
    <t xml:space="preserve">You should ask here whether GST ITC is avaialble </t>
  </si>
  <si>
    <t>if it is avaialbe then it should not be included in the cost</t>
  </si>
  <si>
    <t>or it is not available then it should be part of the cost of material</t>
  </si>
  <si>
    <t/>
  </si>
  <si>
    <t>Raw material name should be changed to "Cost of Materials"</t>
  </si>
  <si>
    <t>Then a disclaimer should be there that materials means all type of materials like Raw or any other type of materials or components</t>
  </si>
  <si>
    <t>I would required a BOM it is details of all the materials which is required for a product.</t>
  </si>
  <si>
    <t>Details of materials in cost of materials all the cost of all the materials which can be used in a product.</t>
  </si>
  <si>
    <t>But BOM is details of all the materials used in a product and price and quantity used in a product.</t>
  </si>
  <si>
    <t>We can name a BOM like "BOM for Chair making" or "BOM for Book Making" etc</t>
  </si>
  <si>
    <t>Search is not available while selecting a material, labour or overhead.</t>
  </si>
  <si>
    <t>I need BOM to select instead of material in costing/ product cost.</t>
  </si>
  <si>
    <t>While calculating product cost these 3 options should be available.</t>
  </si>
  <si>
    <t xml:space="preserve">a) BOM </t>
  </si>
  <si>
    <t>If we delete a line while creating product cost then whole costing details goes out.</t>
  </si>
  <si>
    <t>Edit facility not available.</t>
  </si>
  <si>
    <t>BOM should be editable</t>
  </si>
  <si>
    <t>BOM fields</t>
  </si>
  <si>
    <t>Name of the product for which a BOM is made.</t>
  </si>
  <si>
    <t>then</t>
  </si>
  <si>
    <t>Material item name</t>
  </si>
  <si>
    <t>Quantity</t>
  </si>
  <si>
    <t>Unit of Measure</t>
  </si>
  <si>
    <t>Rate</t>
  </si>
  <si>
    <t>Amount</t>
  </si>
  <si>
    <t>b) Labour</t>
  </si>
  <si>
    <t>c) Overheads</t>
  </si>
  <si>
    <t>It is very important in materials costing.</t>
  </si>
  <si>
    <t>Facility of Save/edit / delte if not used in any BOM.</t>
  </si>
  <si>
    <t>Fields of UOM</t>
  </si>
  <si>
    <t>a) Code</t>
  </si>
  <si>
    <t>Kg/Gm/pcs/ltr</t>
  </si>
  <si>
    <t>b) UOM Name</t>
  </si>
  <si>
    <t>Kilogram/Gram/pieces/liters</t>
  </si>
  <si>
    <t>c) Base Unit</t>
  </si>
  <si>
    <t xml:space="preserve">Kg </t>
  </si>
  <si>
    <t>yes</t>
  </si>
  <si>
    <t>Gram</t>
  </si>
  <si>
    <t>No</t>
  </si>
  <si>
    <t>d) decimal allowed or not</t>
  </si>
  <si>
    <t>There is a issue of auto value changes in Qty and wastage while filing details for costing.</t>
  </si>
  <si>
    <t>There is not linkage of amount of overhead details saved in overhead and overhead details showing in costing.</t>
  </si>
  <si>
    <t>There is no uses of Allocation type details filled earlier.</t>
  </si>
  <si>
    <t>Costing is not showing for individual details saved . This is blank that how many cost is incurred for material, labour or overhead in final costing result.</t>
  </si>
  <si>
    <t>After saving if we want to edit an details there is no such option is available in final costing results</t>
  </si>
  <si>
    <t>Bulk upload does not showing any format for uploading.</t>
  </si>
  <si>
    <t>There is no provision for downloading a costing report in excel or pdf or print.</t>
  </si>
  <si>
    <t xml:space="preserve">Final costing shows GST but there is no use of GST to show there. </t>
  </si>
  <si>
    <t xml:space="preserve">Overall it implies that we are working more than manual working </t>
  </si>
  <si>
    <t>Our purpose is for reducing the time and give accurate details but it is increasing our working.</t>
  </si>
  <si>
    <t>Cost of Materials</t>
  </si>
  <si>
    <t>BOM for Book</t>
  </si>
  <si>
    <t>Papers</t>
  </si>
  <si>
    <t>Item</t>
  </si>
  <si>
    <t>Qty</t>
  </si>
  <si>
    <t>Cost</t>
  </si>
  <si>
    <t>UOM</t>
  </si>
  <si>
    <t>Kg</t>
  </si>
  <si>
    <t>Bindings Sheet</t>
  </si>
  <si>
    <t>Pcs</t>
  </si>
  <si>
    <t>Total</t>
  </si>
  <si>
    <t>Lobour</t>
  </si>
  <si>
    <t>Labour per book</t>
  </si>
  <si>
    <t>Process</t>
  </si>
  <si>
    <t>Overhead</t>
  </si>
  <si>
    <t>Machine rent</t>
  </si>
  <si>
    <t>Electricity</t>
  </si>
  <si>
    <t>Other Admin Cost</t>
  </si>
  <si>
    <t>Production</t>
  </si>
  <si>
    <t>160 per day</t>
  </si>
  <si>
    <t>Profit Margin</t>
  </si>
  <si>
    <t>Book Price</t>
  </si>
  <si>
    <t>Example of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</si>
</sst>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Mulis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NumberFormat="1" applyFont="1"/>
    <xf numFmtId="9" fontId="0" fillId="0" borderId="0" xfId="0" applyNumberFormat="1" applyFont="1"/>
    <xf numFmtId="0" fontId="0" fillId="0" borderId="0" xfId="0" quotePrefix="1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0000"/>
      <color rgb="FFB5520F"/>
      <color rgb="FF7030A0"/>
      <color rgb="FFFF00FF"/>
      <color rgb="FFFF0066"/>
      <color rgb="FF009A46"/>
      <color rgb="FF00B0F0"/>
      <color rgb="FF00B050"/>
      <color rgb="FFFFC00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G86"/>
  <sheetViews>
    <sheetView tabSelected="1" topLeftCell="A58" workbookViewId="0">
      <selection activeCell="B67" sqref="B67"/>
    </sheetView>
  </sheetViews>
  <sheetFormatPr defaultColWidth="14.5703125" defaultRowHeight="15"/>
  <cols>
    <col min="1" max="16384" width="14.5703125" style="1"/>
  </cols>
  <sheetData>
    <row r="3" spans="1:2">
      <c r="A3" s="1">
        <v>1</v>
      </c>
      <c r="B3" s="1" t="s">
        <v>1</v>
      </c>
    </row>
    <row r="4" spans="1:2">
      <c r="B4" s="1" t="s">
        <v>2</v>
      </c>
    </row>
    <row r="5" spans="1:2">
      <c r="B5" s="1" t="s">
        <v>3</v>
      </c>
    </row>
    <row r="6" spans="1:2">
      <c r="B6" s="1" t="s">
        <v>4</v>
      </c>
    </row>
    <row r="7" spans="1:2">
      <c r="B7" s="1" t="s">
        <v>5</v>
      </c>
    </row>
    <row r="8" spans="1:2">
      <c r="B8" s="1" t="s">
        <v>6</v>
      </c>
    </row>
    <row r="9" spans="1:2">
      <c r="B9" s="3" t="s">
        <v>7</v>
      </c>
    </row>
    <row r="10" spans="1:2">
      <c r="A10" s="1">
        <v>2</v>
      </c>
      <c r="B10" s="1" t="s">
        <v>8</v>
      </c>
    </row>
    <row r="11" spans="1:2">
      <c r="B11" s="1" t="s">
        <v>9</v>
      </c>
    </row>
    <row r="13" spans="1:2">
      <c r="A13" s="1">
        <v>3</v>
      </c>
      <c r="B13" s="1" t="s">
        <v>10</v>
      </c>
    </row>
    <row r="14" spans="1:2">
      <c r="B14" s="1" t="s">
        <v>11</v>
      </c>
    </row>
    <row r="15" spans="1:2">
      <c r="B15" s="1" t="s">
        <v>12</v>
      </c>
    </row>
    <row r="16" spans="1:2">
      <c r="B16" s="1" t="s">
        <v>13</v>
      </c>
    </row>
    <row r="18" spans="1:3">
      <c r="A18" s="1">
        <v>4</v>
      </c>
      <c r="B18" s="1" t="s">
        <v>14</v>
      </c>
    </row>
    <row r="19" spans="1:3">
      <c r="B19" s="1" t="s">
        <v>15</v>
      </c>
    </row>
    <row r="20" spans="1:3">
      <c r="B20" s="1" t="s">
        <v>20</v>
      </c>
    </row>
    <row r="21" spans="1:3">
      <c r="B21" s="1" t="s">
        <v>21</v>
      </c>
      <c r="C21" s="1" t="s">
        <v>22</v>
      </c>
    </row>
    <row r="22" spans="1:3">
      <c r="B22" s="1" t="s">
        <v>23</v>
      </c>
      <c r="C22" s="1" t="s">
        <v>0</v>
      </c>
    </row>
    <row r="23" spans="1:3">
      <c r="C23" s="1" t="s">
        <v>24</v>
      </c>
    </row>
    <row r="24" spans="1:3">
      <c r="C24" s="1" t="s">
        <v>25</v>
      </c>
    </row>
    <row r="25" spans="1:3">
      <c r="C25" s="1" t="s">
        <v>26</v>
      </c>
    </row>
    <row r="26" spans="1:3">
      <c r="C26" s="1" t="s">
        <v>27</v>
      </c>
    </row>
    <row r="27" spans="1:3">
      <c r="C27" s="1" t="s">
        <v>28</v>
      </c>
    </row>
    <row r="29" spans="1:3">
      <c r="A29" s="1">
        <v>5</v>
      </c>
      <c r="B29" s="1" t="s">
        <v>16</v>
      </c>
    </row>
    <row r="30" spans="1:3">
      <c r="B30" s="1" t="s">
        <v>17</v>
      </c>
    </row>
    <row r="31" spans="1:3">
      <c r="B31" s="1" t="s">
        <v>29</v>
      </c>
    </row>
    <row r="32" spans="1:3">
      <c r="B32" s="1" t="s">
        <v>30</v>
      </c>
    </row>
    <row r="34" spans="1:4">
      <c r="A34" s="1">
        <v>6</v>
      </c>
      <c r="B34" s="1" t="s">
        <v>18</v>
      </c>
    </row>
    <row r="35" spans="1:4">
      <c r="B35" s="1" t="s">
        <v>19</v>
      </c>
    </row>
    <row r="37" spans="1:4">
      <c r="A37" s="1">
        <v>7</v>
      </c>
      <c r="B37" s="1" t="s">
        <v>26</v>
      </c>
    </row>
    <row r="38" spans="1:4">
      <c r="B38" s="1" t="s">
        <v>31</v>
      </c>
    </row>
    <row r="39" spans="1:4">
      <c r="B39" s="1" t="s">
        <v>32</v>
      </c>
    </row>
    <row r="41" spans="1:4">
      <c r="B41" s="1" t="s">
        <v>33</v>
      </c>
    </row>
    <row r="42" spans="1:4">
      <c r="B42" s="1" t="s">
        <v>34</v>
      </c>
      <c r="C42" s="1" t="s">
        <v>35</v>
      </c>
    </row>
    <row r="43" spans="1:4">
      <c r="B43" s="1" t="s">
        <v>36</v>
      </c>
      <c r="C43" s="1" t="s">
        <v>37</v>
      </c>
    </row>
    <row r="44" spans="1:4">
      <c r="B44" s="1" t="s">
        <v>38</v>
      </c>
      <c r="C44" s="1" t="s">
        <v>39</v>
      </c>
      <c r="D44" s="1" t="s">
        <v>40</v>
      </c>
    </row>
    <row r="45" spans="1:4">
      <c r="C45" s="1" t="s">
        <v>41</v>
      </c>
      <c r="D45" s="1" t="s">
        <v>42</v>
      </c>
    </row>
    <row r="46" spans="1:4">
      <c r="B46" s="1" t="s">
        <v>43</v>
      </c>
    </row>
    <row r="48" spans="1:4">
      <c r="A48" s="1">
        <v>8</v>
      </c>
      <c r="B48" s="1" t="s">
        <v>44</v>
      </c>
    </row>
    <row r="50" spans="1:2">
      <c r="A50" s="1">
        <v>9</v>
      </c>
      <c r="B50" s="1" t="s">
        <v>45</v>
      </c>
    </row>
    <row r="51" spans="1:2">
      <c r="B51" s="1" t="s">
        <v>46</v>
      </c>
    </row>
    <row r="53" spans="1:2">
      <c r="A53" s="1">
        <v>10</v>
      </c>
      <c r="B53" s="1" t="s">
        <v>47</v>
      </c>
    </row>
    <row r="55" spans="1:2">
      <c r="A55" s="1">
        <v>11</v>
      </c>
      <c r="B55" s="1" t="s">
        <v>48</v>
      </c>
    </row>
    <row r="57" spans="1:2">
      <c r="A57" s="1">
        <v>12</v>
      </c>
      <c r="B57" s="1" t="s">
        <v>49</v>
      </c>
    </row>
    <row r="59" spans="1:2">
      <c r="A59" s="1">
        <v>13</v>
      </c>
      <c r="B59" s="1" t="s">
        <v>50</v>
      </c>
    </row>
    <row r="61" spans="1:2">
      <c r="A61" s="1">
        <v>14</v>
      </c>
      <c r="B61" s="1" t="s">
        <v>51</v>
      </c>
    </row>
    <row r="63" spans="1:2">
      <c r="A63" s="1">
        <v>15</v>
      </c>
      <c r="B63" s="1" t="s">
        <v>52</v>
      </c>
    </row>
    <row r="64" spans="1:2">
      <c r="B64" s="1" t="s">
        <v>53</v>
      </c>
    </row>
    <row r="66" spans="1:7">
      <c r="A66" s="1">
        <v>16</v>
      </c>
      <c r="B66" s="1" t="s">
        <v>76</v>
      </c>
    </row>
    <row r="67" spans="1:7">
      <c r="B67" s="1" t="s">
        <v>54</v>
      </c>
    </row>
    <row r="68" spans="1:7">
      <c r="B68" s="1" t="s">
        <v>55</v>
      </c>
      <c r="C68" s="1" t="s">
        <v>57</v>
      </c>
      <c r="D68" s="1" t="s">
        <v>27</v>
      </c>
      <c r="E68" s="1" t="s">
        <v>58</v>
      </c>
      <c r="F68" s="1" t="s">
        <v>60</v>
      </c>
      <c r="G68" s="1" t="s">
        <v>59</v>
      </c>
    </row>
    <row r="69" spans="1:7">
      <c r="C69" s="1" t="s">
        <v>56</v>
      </c>
      <c r="D69" s="1">
        <v>200</v>
      </c>
      <c r="E69" s="1">
        <v>0.5</v>
      </c>
      <c r="F69" s="1" t="s">
        <v>61</v>
      </c>
      <c r="G69" s="1">
        <f>+D69*E69</f>
        <v>100</v>
      </c>
    </row>
    <row r="70" spans="1:7">
      <c r="C70" s="1" t="s">
        <v>62</v>
      </c>
      <c r="D70" s="1">
        <v>5.5</v>
      </c>
      <c r="E70" s="1">
        <v>1</v>
      </c>
      <c r="F70" s="1" t="s">
        <v>63</v>
      </c>
      <c r="G70" s="1">
        <f>+D70*E70</f>
        <v>5.5</v>
      </c>
    </row>
    <row r="71" spans="1:7">
      <c r="F71" s="1" t="s">
        <v>64</v>
      </c>
      <c r="G71" s="1">
        <f>+G69+G70</f>
        <v>105.5</v>
      </c>
    </row>
    <row r="73" spans="1:7">
      <c r="D73" s="1" t="s">
        <v>59</v>
      </c>
      <c r="E73" s="1" t="s">
        <v>67</v>
      </c>
    </row>
    <row r="74" spans="1:7">
      <c r="B74" s="1" t="s">
        <v>65</v>
      </c>
      <c r="C74" s="1" t="s">
        <v>66</v>
      </c>
      <c r="D74" s="1">
        <v>6</v>
      </c>
      <c r="E74" s="1">
        <v>1</v>
      </c>
      <c r="G74" s="1">
        <f>+D74*E74</f>
        <v>6</v>
      </c>
    </row>
    <row r="77" spans="1:7">
      <c r="B77" s="1" t="s">
        <v>68</v>
      </c>
    </row>
    <row r="78" spans="1:7">
      <c r="B78" s="1">
        <v>1</v>
      </c>
      <c r="C78" s="1" t="s">
        <v>69</v>
      </c>
      <c r="D78" s="1">
        <v>25000</v>
      </c>
    </row>
    <row r="79" spans="1:7">
      <c r="B79" s="1">
        <v>2</v>
      </c>
      <c r="C79" s="1" t="s">
        <v>70</v>
      </c>
      <c r="D79" s="1">
        <v>6000</v>
      </c>
    </row>
    <row r="80" spans="1:7">
      <c r="B80" s="1">
        <v>3</v>
      </c>
      <c r="C80" s="1" t="s">
        <v>71</v>
      </c>
      <c r="D80" s="1">
        <v>10000</v>
      </c>
    </row>
    <row r="81" spans="3:7">
      <c r="C81" s="1" t="s">
        <v>64</v>
      </c>
      <c r="D81" s="1">
        <f>+D78+D79+D80</f>
        <v>41000</v>
      </c>
    </row>
    <row r="82" spans="3:7">
      <c r="C82" s="1" t="s">
        <v>72</v>
      </c>
      <c r="D82" s="1" t="s">
        <v>73</v>
      </c>
      <c r="E82" s="1">
        <f>160*26</f>
        <v>4160</v>
      </c>
      <c r="F82" s="1">
        <f>+D81/E82</f>
        <v>9.8557692307692299</v>
      </c>
      <c r="G82" s="1">
        <v>10</v>
      </c>
    </row>
    <row r="84" spans="3:7">
      <c r="C84" s="1" t="s">
        <v>59</v>
      </c>
      <c r="G84" s="1">
        <f>+G71+G74+G82</f>
        <v>121.5</v>
      </c>
    </row>
    <row r="85" spans="3:7">
      <c r="C85" s="1" t="s">
        <v>74</v>
      </c>
      <c r="E85" s="2">
        <v>2</v>
      </c>
      <c r="G85" s="1">
        <f>+G84*2</f>
        <v>243</v>
      </c>
    </row>
    <row r="86" spans="3:7">
      <c r="C86" s="1" t="s">
        <v>75</v>
      </c>
      <c r="G86" s="1">
        <f>+G84+G85</f>
        <v>364.5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kumar</dc:creator>
  <cp:lastModifiedBy>OSC2</cp:lastModifiedBy>
  <cp:lastPrinted>2025-11-12T09:35:20Z</cp:lastPrinted>
  <dcterms:created xsi:type="dcterms:W3CDTF">2021-08-27T02:03:23Z</dcterms:created>
  <dcterms:modified xsi:type="dcterms:W3CDTF">2026-01-07T05:39:45Z</dcterms:modified>
</cp:coreProperties>
</file>